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525B87B-D85C-41A2-A0D0-D8211B3485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 SA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1" l="1"/>
  <c r="F12" i="1"/>
  <c r="E12" i="1"/>
  <c r="D12" i="1"/>
  <c r="E11" i="1"/>
  <c r="F11" i="1" s="1"/>
  <c r="D11" i="1"/>
  <c r="E10" i="1"/>
  <c r="F10" i="1" s="1"/>
  <c r="D10" i="1"/>
  <c r="F9" i="1"/>
  <c r="D9" i="1"/>
  <c r="E8" i="1"/>
  <c r="F8" i="1" s="1"/>
  <c r="D8" i="1"/>
  <c r="D7" i="1"/>
  <c r="E6" i="1"/>
  <c r="D6" i="1"/>
  <c r="E5" i="1"/>
  <c r="F5" i="1" s="1"/>
  <c r="D5" i="1"/>
  <c r="F4" i="1"/>
  <c r="D4" i="1"/>
  <c r="D14" i="1" l="1"/>
  <c r="F14" i="1"/>
  <c r="E14" i="1"/>
</calcChain>
</file>

<file path=xl/sharedStrings.xml><?xml version="1.0" encoding="utf-8"?>
<sst xmlns="http://schemas.openxmlformats.org/spreadsheetml/2006/main" count="195" uniqueCount="138">
  <si>
    <t>SALES REPORT</t>
  </si>
  <si>
    <t>FEBRUARY &amp; MARCH</t>
  </si>
  <si>
    <t>No</t>
  </si>
  <si>
    <t>Sales Man</t>
  </si>
  <si>
    <t>Target</t>
  </si>
  <si>
    <t>FEBRUARY</t>
  </si>
  <si>
    <t>MARCH</t>
  </si>
  <si>
    <t>Variance</t>
  </si>
  <si>
    <t>Moni</t>
  </si>
  <si>
    <t>Muhsin</t>
  </si>
  <si>
    <t>Shamsudheen</t>
  </si>
  <si>
    <t>Nazmul</t>
  </si>
  <si>
    <t>Anvar</t>
  </si>
  <si>
    <t>Fayis</t>
  </si>
  <si>
    <t xml:space="preserve"> </t>
  </si>
  <si>
    <t>Kanakan</t>
  </si>
  <si>
    <t>Musthafa</t>
  </si>
  <si>
    <t>Sulaiman</t>
  </si>
  <si>
    <t>Jasim</t>
  </si>
  <si>
    <t>Product Name</t>
  </si>
  <si>
    <t>Direct Sale</t>
  </si>
  <si>
    <t>Shrimp 50/60</t>
  </si>
  <si>
    <t>22 BOX</t>
  </si>
  <si>
    <t>2 BOX</t>
  </si>
  <si>
    <t>43.166 BOX</t>
  </si>
  <si>
    <t>7 BOX</t>
  </si>
  <si>
    <t>3 BOX</t>
  </si>
  <si>
    <t>Lipton Yellow Label Tea</t>
  </si>
  <si>
    <t>12.167 BOX</t>
  </si>
  <si>
    <t>48.330 BOX</t>
  </si>
  <si>
    <t>5 BOX</t>
  </si>
  <si>
    <t>1.251 BOX</t>
  </si>
  <si>
    <t>5.251 BOX</t>
  </si>
  <si>
    <t>20 BOX</t>
  </si>
  <si>
    <t>Moila</t>
  </si>
  <si>
    <t>Ample French Fries 6mm</t>
  </si>
  <si>
    <t>150.250 BOX</t>
  </si>
  <si>
    <t>6 BOX</t>
  </si>
  <si>
    <t>40 PCS</t>
  </si>
  <si>
    <t>Shrimp 40/50</t>
  </si>
  <si>
    <t>75.500 BOX</t>
  </si>
  <si>
    <t>9.334 BOX</t>
  </si>
  <si>
    <t>1 BOX</t>
  </si>
  <si>
    <t>17.666 BOX</t>
  </si>
  <si>
    <t>Egg</t>
  </si>
  <si>
    <t>10 BOX</t>
  </si>
  <si>
    <t>224 BOX</t>
  </si>
  <si>
    <t>506 BOX</t>
  </si>
  <si>
    <t>98 BOX</t>
  </si>
  <si>
    <t>254 BOX</t>
  </si>
  <si>
    <t>166 BOX</t>
  </si>
  <si>
    <t>341 BOX</t>
  </si>
  <si>
    <t>859.666 BOX</t>
  </si>
  <si>
    <t>Egg 6Pcs Pouch</t>
  </si>
  <si>
    <t>30 POUCH</t>
  </si>
  <si>
    <t>382 POUCH</t>
  </si>
  <si>
    <t>60 POUCH</t>
  </si>
  <si>
    <t>22 POUCH</t>
  </si>
  <si>
    <t>3 POUCH</t>
  </si>
  <si>
    <t>Egg 15Pcs Pouch</t>
  </si>
  <si>
    <t>115 POUCH</t>
  </si>
  <si>
    <t>12 POUCH</t>
  </si>
  <si>
    <t>40 POUCH</t>
  </si>
  <si>
    <t>24POUCH</t>
  </si>
  <si>
    <t>Shrimp 30/40</t>
  </si>
  <si>
    <t>11 BOX</t>
  </si>
  <si>
    <t>Indian Mackerel 8/10</t>
  </si>
  <si>
    <t>Indian Mackerel 4/6</t>
  </si>
  <si>
    <t>Indian Mackerel 8/12</t>
  </si>
  <si>
    <t>29 BOX</t>
  </si>
  <si>
    <t>Indian Mackerel 6/8</t>
  </si>
  <si>
    <t>Rohu WR 800-1000G</t>
  </si>
  <si>
    <t>33 BOX</t>
  </si>
  <si>
    <t>Rohu WR 1KG UP</t>
  </si>
  <si>
    <t>259 BOX</t>
  </si>
  <si>
    <t>43 BOX</t>
  </si>
  <si>
    <t>49 BOX</t>
  </si>
  <si>
    <t>Batashi</t>
  </si>
  <si>
    <t>Tuna loins</t>
  </si>
  <si>
    <t>22.800 KG</t>
  </si>
  <si>
    <t>Green Tea</t>
  </si>
  <si>
    <t>1.333 BOX</t>
  </si>
  <si>
    <t>1.083 BOX</t>
  </si>
  <si>
    <t>0.083 BOX</t>
  </si>
  <si>
    <t>Star Baim</t>
  </si>
  <si>
    <t>Quaker Oats</t>
  </si>
  <si>
    <t>0.250 BOX</t>
  </si>
  <si>
    <t>15 BOX</t>
  </si>
  <si>
    <t>1.875 BOX</t>
  </si>
  <si>
    <t>0.167 BOX</t>
  </si>
  <si>
    <t>1.125 BOX</t>
  </si>
  <si>
    <t>Frozen Rohu (G) 2kg UP</t>
  </si>
  <si>
    <t>Bato Potato Burger</t>
  </si>
  <si>
    <t>King Fish</t>
  </si>
  <si>
    <t>41.300 BOX</t>
  </si>
  <si>
    <t>13 BOX</t>
  </si>
  <si>
    <t>16 BOX</t>
  </si>
  <si>
    <t>Al khalij chips Mix Box</t>
  </si>
  <si>
    <t>1.400 BOX</t>
  </si>
  <si>
    <t>Samosa</t>
  </si>
  <si>
    <t>4.500 BOX</t>
  </si>
  <si>
    <t>53 BOX</t>
  </si>
  <si>
    <t>58.875 BOX</t>
  </si>
  <si>
    <t>142 BOX</t>
  </si>
  <si>
    <t>52 BOX</t>
  </si>
  <si>
    <t>8.625 BOX</t>
  </si>
  <si>
    <t>Chichini French fries</t>
  </si>
  <si>
    <t>Chicken</t>
  </si>
  <si>
    <t>Juices</t>
  </si>
  <si>
    <t>12 OTR</t>
  </si>
  <si>
    <t>20 OTR</t>
  </si>
  <si>
    <t>Peanut Butter</t>
  </si>
  <si>
    <t>3 PCS</t>
  </si>
  <si>
    <t>96 PCS</t>
  </si>
  <si>
    <t>45 PCS</t>
  </si>
  <si>
    <t>9PCS</t>
  </si>
  <si>
    <t>29 PCS</t>
  </si>
  <si>
    <t>Awal Mango Pulp</t>
  </si>
  <si>
    <t>Sardine</t>
  </si>
  <si>
    <t>Coconut Milk</t>
  </si>
  <si>
    <t>12 PCS</t>
  </si>
  <si>
    <t>8 OTR</t>
  </si>
  <si>
    <t>18 PCS</t>
  </si>
  <si>
    <t xml:space="preserve">Tilapia </t>
  </si>
  <si>
    <t>32 BOX</t>
  </si>
  <si>
    <t>BABY SHRIPMP</t>
  </si>
  <si>
    <t>0.750 BOX</t>
  </si>
  <si>
    <t>0.500 BOX</t>
  </si>
  <si>
    <t>SCAMPI</t>
  </si>
  <si>
    <t>0.125 BOX</t>
  </si>
  <si>
    <t>PACIFIC MACHEREL 8/10</t>
  </si>
  <si>
    <t>275 BOX</t>
  </si>
  <si>
    <t>84 BOX</t>
  </si>
  <si>
    <t>85 BOX</t>
  </si>
  <si>
    <t>BATO FRENCH FRIES</t>
  </si>
  <si>
    <t>SALT</t>
  </si>
  <si>
    <t>7.166 BOX</t>
  </si>
  <si>
    <t>FIVE STAR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</si>
</sst>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b/>
      <sz val="11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9" fontId="3" fillId="0" borderId="0" xfId="0" applyNumberFormat="1" applyFont="1" applyAlignment="1">
      <alignment horizontal="center" vertical="top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43" fontId="0" fillId="0" borderId="1" xfId="1" applyFont="1" applyBorder="1"/>
    <xf numFmtId="43" fontId="0" fillId="0" borderId="1" xfId="1" applyFont="1" applyFill="1" applyBorder="1"/>
    <xf numFmtId="43" fontId="0" fillId="0" borderId="0" xfId="1" applyFont="1" applyBorder="1"/>
    <xf numFmtId="43" fontId="0" fillId="0" borderId="0" xfId="1" applyFont="1" applyFill="1" applyBorder="1"/>
    <xf numFmtId="43" fontId="2" fillId="0" borderId="1" xfId="0" applyNumberFormat="1" applyFont="1" applyBorder="1"/>
    <xf numFmtId="43" fontId="2" fillId="0" borderId="0" xfId="0" applyNumberFormat="1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top"/>
    </xf>
    <xf numFmtId="49" fontId="4" fillId="3" borderId="1" xfId="0" applyNumberFormat="1" applyFont="1" applyFill="1" applyBorder="1" applyAlignment="1">
      <alignment horizontal="center" vertical="top"/>
    </xf>
    <xf numFmtId="17" fontId="2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workbookViewId="0">
      <selection activeCell="H9" sqref="H9"/>
    </sheetView>
  </sheetViews>
  <sheetFormatPr defaultRowHeight="14.4" x14ac:dyDescent="0.3"/>
  <cols>
    <col min="2" max="2" width="23.88671875" customWidth="1"/>
    <col min="3" max="3" width="13.88671875" customWidth="1"/>
    <col min="4" max="4" width="14.6640625" customWidth="1"/>
    <col min="5" max="5" width="16" customWidth="1"/>
    <col min="6" max="6" width="14.88671875" customWidth="1"/>
    <col min="7" max="7" width="14.33203125" customWidth="1"/>
    <col min="8" max="8" width="16.44140625" customWidth="1"/>
    <col min="9" max="9" width="14.5546875" customWidth="1"/>
    <col min="10" max="10" width="15.109375" customWidth="1"/>
    <col min="11" max="11" width="15.6640625" customWidth="1"/>
    <col min="12" max="12" width="14.5546875" customWidth="1"/>
    <col min="13" max="13" width="14.44140625" customWidth="1"/>
    <col min="17" max="17" width="10.5546875" bestFit="1" customWidth="1"/>
  </cols>
  <sheetData>
    <row r="1" spans="1:16" ht="16.2" x14ac:dyDescent="0.3">
      <c r="A1" s="18" t="s">
        <v>0</v>
      </c>
      <c r="B1" s="18"/>
      <c r="C1" s="18"/>
      <c r="D1" s="18"/>
      <c r="E1" s="18"/>
      <c r="F1" s="18"/>
      <c r="G1" s="1"/>
      <c r="H1" s="1"/>
      <c r="I1" s="1"/>
      <c r="J1" s="1"/>
      <c r="K1" s="1"/>
      <c r="L1" s="1"/>
    </row>
    <row r="2" spans="1:16" ht="16.2" x14ac:dyDescent="0.3">
      <c r="A2" s="19" t="s">
        <v>1</v>
      </c>
      <c r="B2" s="19"/>
      <c r="C2" s="19"/>
      <c r="D2" s="19"/>
      <c r="E2" s="19"/>
      <c r="F2" s="19"/>
      <c r="G2" s="1"/>
      <c r="H2" s="1"/>
      <c r="I2" s="1"/>
      <c r="J2" s="1"/>
      <c r="K2" s="1"/>
      <c r="L2" s="1"/>
    </row>
    <row r="3" spans="1:16" x14ac:dyDescent="0.3">
      <c r="A3" s="2" t="s">
        <v>2</v>
      </c>
      <c r="B3" s="2" t="s">
        <v>3</v>
      </c>
      <c r="C3" s="2" t="s">
        <v>4</v>
      </c>
      <c r="D3" s="3" t="s">
        <v>5</v>
      </c>
      <c r="E3" s="4" t="s">
        <v>6</v>
      </c>
      <c r="F3" s="2" t="s">
        <v>7</v>
      </c>
      <c r="H3" s="5"/>
      <c r="I3" s="5"/>
      <c r="J3" s="5"/>
      <c r="K3" s="5"/>
      <c r="L3" s="5"/>
    </row>
    <row r="4" spans="1:16" x14ac:dyDescent="0.3">
      <c r="A4" s="6">
        <v>1</v>
      </c>
      <c r="B4" s="7" t="s">
        <v>8</v>
      </c>
      <c r="C4" s="8">
        <v>200000</v>
      </c>
      <c r="D4" s="9">
        <f>55515+3429</f>
        <v>58944</v>
      </c>
      <c r="E4" s="8">
        <v>81462</v>
      </c>
      <c r="F4" s="8">
        <f>C4-E4</f>
        <v>118538</v>
      </c>
      <c r="H4" s="10"/>
      <c r="I4" s="10"/>
      <c r="J4" s="10"/>
      <c r="K4" s="11"/>
      <c r="L4" s="11"/>
    </row>
    <row r="5" spans="1:16" x14ac:dyDescent="0.3">
      <c r="A5" s="6">
        <v>2</v>
      </c>
      <c r="B5" s="7" t="s">
        <v>9</v>
      </c>
      <c r="C5" s="8">
        <v>200000</v>
      </c>
      <c r="D5" s="8">
        <f>127716.25+3836</f>
        <v>131552.25</v>
      </c>
      <c r="E5" s="8">
        <f>69368.26+350+144+48+375</f>
        <v>70285.259999999995</v>
      </c>
      <c r="F5" s="8">
        <f>C5-E5</f>
        <v>129714.74</v>
      </c>
      <c r="H5" s="10"/>
      <c r="I5" s="10"/>
      <c r="J5" s="10"/>
      <c r="K5" s="11"/>
      <c r="L5" s="11"/>
    </row>
    <row r="6" spans="1:16" x14ac:dyDescent="0.3">
      <c r="A6" s="6">
        <v>3</v>
      </c>
      <c r="B6" s="7" t="s">
        <v>10</v>
      </c>
      <c r="C6" s="8"/>
      <c r="D6" s="8">
        <f>38463+55</f>
        <v>38518</v>
      </c>
      <c r="E6" s="8">
        <f>1640+170</f>
        <v>1810</v>
      </c>
      <c r="F6" s="8"/>
      <c r="H6" s="10"/>
      <c r="I6" s="10"/>
      <c r="J6" s="10"/>
      <c r="K6" s="11"/>
      <c r="L6" s="11"/>
    </row>
    <row r="7" spans="1:16" x14ac:dyDescent="0.3">
      <c r="A7" s="6">
        <v>4</v>
      </c>
      <c r="B7" s="7" t="s">
        <v>11</v>
      </c>
      <c r="C7" s="8"/>
      <c r="D7" s="8">
        <f>41368+3252</f>
        <v>44620</v>
      </c>
      <c r="E7" s="8">
        <v>21472</v>
      </c>
      <c r="F7" s="8"/>
      <c r="H7" s="10"/>
      <c r="I7" s="10"/>
      <c r="J7" s="10"/>
      <c r="K7" s="11"/>
      <c r="L7" s="11"/>
    </row>
    <row r="8" spans="1:16" x14ac:dyDescent="0.3">
      <c r="A8" s="6">
        <v>5</v>
      </c>
      <c r="B8" s="7" t="s">
        <v>12</v>
      </c>
      <c r="C8" s="8">
        <v>200000</v>
      </c>
      <c r="D8" s="8">
        <f>57269+3316</f>
        <v>60585</v>
      </c>
      <c r="E8" s="8">
        <f>70655.5+2742</f>
        <v>73397.5</v>
      </c>
      <c r="F8" s="8">
        <f>C8-E8</f>
        <v>126602.5</v>
      </c>
      <c r="H8" s="10"/>
      <c r="I8" s="10"/>
      <c r="J8" s="10"/>
      <c r="K8" s="11"/>
      <c r="L8" s="11"/>
    </row>
    <row r="9" spans="1:16" x14ac:dyDescent="0.3">
      <c r="A9" s="6">
        <v>6</v>
      </c>
      <c r="B9" s="7" t="s">
        <v>13</v>
      </c>
      <c r="C9" s="8">
        <v>200000</v>
      </c>
      <c r="D9" s="8">
        <f>53159+4647</f>
        <v>57806</v>
      </c>
      <c r="E9" s="8">
        <v>12494</v>
      </c>
      <c r="F9" s="8">
        <f>C9-E9</f>
        <v>187506</v>
      </c>
      <c r="H9" s="10"/>
      <c r="I9" s="10"/>
      <c r="J9" s="10"/>
      <c r="K9" s="11"/>
      <c r="L9" s="11"/>
      <c r="P9" t="s">
        <v>14</v>
      </c>
    </row>
    <row r="10" spans="1:16" x14ac:dyDescent="0.3">
      <c r="A10" s="6">
        <v>7</v>
      </c>
      <c r="B10" s="7" t="s">
        <v>15</v>
      </c>
      <c r="C10" s="8">
        <v>200000</v>
      </c>
      <c r="D10" s="8">
        <f>43165+7395</f>
        <v>50560</v>
      </c>
      <c r="E10" s="8">
        <f>30152+3381</f>
        <v>33533</v>
      </c>
      <c r="F10" s="8">
        <f>C10-E10</f>
        <v>166467</v>
      </c>
      <c r="H10" s="10"/>
      <c r="I10" s="10"/>
      <c r="J10" s="10"/>
      <c r="K10" s="11"/>
      <c r="L10" s="11"/>
    </row>
    <row r="11" spans="1:16" x14ac:dyDescent="0.3">
      <c r="A11" s="6">
        <v>8</v>
      </c>
      <c r="B11" s="7" t="s">
        <v>16</v>
      </c>
      <c r="C11" s="8">
        <v>200000</v>
      </c>
      <c r="D11" s="8">
        <f>32279.5+2967</f>
        <v>35246.5</v>
      </c>
      <c r="E11" s="8">
        <f>23435+1209</f>
        <v>24644</v>
      </c>
      <c r="F11" s="8">
        <f>C11-E11</f>
        <v>175356</v>
      </c>
      <c r="H11" s="10"/>
      <c r="I11" s="10"/>
      <c r="J11" s="10"/>
      <c r="K11" s="11"/>
      <c r="L11" s="11"/>
    </row>
    <row r="12" spans="1:16" x14ac:dyDescent="0.3">
      <c r="A12" s="6">
        <v>9</v>
      </c>
      <c r="B12" s="7" t="s">
        <v>17</v>
      </c>
      <c r="C12" s="8">
        <v>200000</v>
      </c>
      <c r="D12" s="8">
        <f>27987+2850</f>
        <v>30837</v>
      </c>
      <c r="E12" s="8">
        <f>35872+2958</f>
        <v>38830</v>
      </c>
      <c r="F12" s="8">
        <f>C12-E12</f>
        <v>161170</v>
      </c>
      <c r="H12" s="10"/>
      <c r="I12" s="10"/>
      <c r="J12" s="10"/>
      <c r="K12" s="11"/>
      <c r="L12" s="11"/>
    </row>
    <row r="13" spans="1:16" x14ac:dyDescent="0.3">
      <c r="A13" s="6">
        <v>10</v>
      </c>
      <c r="B13" s="7" t="s">
        <v>18</v>
      </c>
      <c r="C13" s="8"/>
      <c r="D13" s="8">
        <f>16790+4160</f>
        <v>20950</v>
      </c>
      <c r="E13" s="8">
        <v>90652</v>
      </c>
      <c r="F13" s="8"/>
      <c r="H13" s="10"/>
      <c r="I13" s="10"/>
      <c r="J13" s="10"/>
      <c r="K13" s="11"/>
      <c r="L13" s="11"/>
    </row>
    <row r="14" spans="1:16" x14ac:dyDescent="0.3">
      <c r="A14" s="7"/>
      <c r="B14" s="7"/>
      <c r="C14" s="12"/>
      <c r="D14" s="12">
        <f>SUM(D4:D13)</f>
        <v>529618.75</v>
      </c>
      <c r="E14" s="12">
        <f>SUM(E4:E13)</f>
        <v>448579.76</v>
      </c>
      <c r="F14" s="12">
        <f>SUM(F4:F13)</f>
        <v>1065354.24</v>
      </c>
      <c r="H14" s="13"/>
      <c r="I14" s="10"/>
      <c r="J14" s="13"/>
      <c r="K14" s="13"/>
      <c r="L14" s="13"/>
    </row>
    <row r="16" spans="1:16" x14ac:dyDescent="0.3">
      <c r="A16" s="20">
        <v>45717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:13" x14ac:dyDescent="0.3">
      <c r="A17" s="14" t="s">
        <v>2</v>
      </c>
      <c r="B17" s="14" t="s">
        <v>19</v>
      </c>
      <c r="C17" s="14" t="s">
        <v>8</v>
      </c>
      <c r="D17" s="14" t="s">
        <v>9</v>
      </c>
      <c r="E17" s="14" t="s">
        <v>10</v>
      </c>
      <c r="F17" s="14" t="s">
        <v>11</v>
      </c>
      <c r="G17" s="14" t="s">
        <v>12</v>
      </c>
      <c r="H17" s="14" t="s">
        <v>13</v>
      </c>
      <c r="I17" s="14" t="s">
        <v>15</v>
      </c>
      <c r="J17" s="14" t="s">
        <v>16</v>
      </c>
      <c r="K17" s="14" t="s">
        <v>17</v>
      </c>
      <c r="L17" s="15" t="s">
        <v>18</v>
      </c>
      <c r="M17" s="14" t="s">
        <v>20</v>
      </c>
    </row>
    <row r="18" spans="1:13" x14ac:dyDescent="0.3">
      <c r="A18" s="6">
        <v>1</v>
      </c>
      <c r="B18" s="7" t="s">
        <v>21</v>
      </c>
      <c r="C18" s="6" t="s">
        <v>22</v>
      </c>
      <c r="D18" s="16" t="s">
        <v>23</v>
      </c>
      <c r="E18" s="6"/>
      <c r="F18" s="6" t="s">
        <v>24</v>
      </c>
      <c r="G18" s="6" t="s">
        <v>25</v>
      </c>
      <c r="H18" s="6"/>
      <c r="I18" s="6" t="s">
        <v>26</v>
      </c>
      <c r="J18" s="6"/>
      <c r="K18" s="7"/>
      <c r="L18" s="7"/>
      <c r="M18" s="6"/>
    </row>
    <row r="19" spans="1:13" x14ac:dyDescent="0.3">
      <c r="A19" s="6">
        <v>2</v>
      </c>
      <c r="B19" s="7" t="s">
        <v>27</v>
      </c>
      <c r="C19" s="6"/>
      <c r="D19" s="6" t="s">
        <v>28</v>
      </c>
      <c r="E19" s="6"/>
      <c r="F19" s="6"/>
      <c r="G19" s="6" t="s">
        <v>29</v>
      </c>
      <c r="H19" s="6" t="s">
        <v>30</v>
      </c>
      <c r="I19" s="6" t="s">
        <v>31</v>
      </c>
      <c r="J19" s="6" t="s">
        <v>32</v>
      </c>
      <c r="K19" s="6" t="s">
        <v>33</v>
      </c>
      <c r="L19" s="6"/>
      <c r="M19" s="6"/>
    </row>
    <row r="20" spans="1:13" x14ac:dyDescent="0.3">
      <c r="A20" s="6">
        <v>3</v>
      </c>
      <c r="B20" s="7" t="s">
        <v>34</v>
      </c>
      <c r="C20" s="6"/>
      <c r="D20" s="6"/>
      <c r="E20" s="6"/>
      <c r="F20" s="6"/>
      <c r="G20" s="7"/>
      <c r="H20" s="6"/>
      <c r="I20" s="7"/>
      <c r="J20" s="7"/>
      <c r="K20" s="7"/>
      <c r="L20" s="7"/>
      <c r="M20" s="7"/>
    </row>
    <row r="21" spans="1:13" x14ac:dyDescent="0.3">
      <c r="A21" s="6">
        <v>4</v>
      </c>
      <c r="B21" s="7" t="s">
        <v>35</v>
      </c>
      <c r="C21" s="6" t="s">
        <v>26</v>
      </c>
      <c r="D21" s="6" t="s">
        <v>36</v>
      </c>
      <c r="E21" s="6"/>
      <c r="F21" s="6"/>
      <c r="G21" s="6" t="s">
        <v>37</v>
      </c>
      <c r="H21" s="6" t="s">
        <v>23</v>
      </c>
      <c r="I21" s="7"/>
      <c r="J21" s="6"/>
      <c r="K21" s="7"/>
      <c r="L21" s="6" t="s">
        <v>38</v>
      </c>
      <c r="M21" s="7"/>
    </row>
    <row r="22" spans="1:13" x14ac:dyDescent="0.3">
      <c r="A22" s="6">
        <v>5</v>
      </c>
      <c r="B22" s="7" t="s">
        <v>39</v>
      </c>
      <c r="C22" s="6" t="s">
        <v>40</v>
      </c>
      <c r="D22" s="6" t="s">
        <v>41</v>
      </c>
      <c r="E22" s="6"/>
      <c r="F22" s="6" t="s">
        <v>42</v>
      </c>
      <c r="G22" s="6" t="s">
        <v>43</v>
      </c>
      <c r="H22" s="7"/>
      <c r="I22" s="7"/>
      <c r="J22" s="7"/>
      <c r="K22" s="6" t="s">
        <v>23</v>
      </c>
      <c r="L22" s="7"/>
      <c r="M22" s="7"/>
    </row>
    <row r="23" spans="1:13" x14ac:dyDescent="0.3">
      <c r="A23" s="6">
        <v>6</v>
      </c>
      <c r="B23" s="7" t="s">
        <v>44</v>
      </c>
      <c r="C23" s="6" t="s">
        <v>45</v>
      </c>
      <c r="D23" s="6" t="s">
        <v>46</v>
      </c>
      <c r="E23" s="6"/>
      <c r="F23" s="6"/>
      <c r="G23" s="17" t="s">
        <v>47</v>
      </c>
      <c r="H23" s="6" t="s">
        <v>48</v>
      </c>
      <c r="I23" s="6" t="s">
        <v>49</v>
      </c>
      <c r="J23" s="17" t="s">
        <v>50</v>
      </c>
      <c r="K23" s="6" t="s">
        <v>51</v>
      </c>
      <c r="L23" s="6" t="s">
        <v>52</v>
      </c>
      <c r="M23" s="6"/>
    </row>
    <row r="24" spans="1:13" x14ac:dyDescent="0.3">
      <c r="A24" s="6">
        <v>7</v>
      </c>
      <c r="B24" s="7" t="s">
        <v>53</v>
      </c>
      <c r="C24" s="6"/>
      <c r="D24" s="6" t="s">
        <v>54</v>
      </c>
      <c r="E24" s="6"/>
      <c r="F24" s="6"/>
      <c r="G24" s="6" t="s">
        <v>55</v>
      </c>
      <c r="H24" s="6" t="s">
        <v>56</v>
      </c>
      <c r="I24" s="6" t="s">
        <v>57</v>
      </c>
      <c r="J24" s="6"/>
      <c r="K24" s="6" t="s">
        <v>58</v>
      </c>
      <c r="L24" s="6" t="s">
        <v>56</v>
      </c>
      <c r="M24" s="6"/>
    </row>
    <row r="25" spans="1:13" x14ac:dyDescent="0.3">
      <c r="A25" s="6">
        <v>2</v>
      </c>
      <c r="B25" s="7" t="s">
        <v>59</v>
      </c>
      <c r="C25" s="6"/>
      <c r="D25" s="6"/>
      <c r="E25" s="6"/>
      <c r="F25" s="6"/>
      <c r="G25" s="6" t="s">
        <v>60</v>
      </c>
      <c r="H25" s="6" t="s">
        <v>61</v>
      </c>
      <c r="I25" s="6" t="s">
        <v>62</v>
      </c>
      <c r="J25" s="6"/>
      <c r="K25" s="6" t="s">
        <v>58</v>
      </c>
      <c r="L25" s="6" t="s">
        <v>63</v>
      </c>
      <c r="M25" s="6"/>
    </row>
    <row r="26" spans="1:13" x14ac:dyDescent="0.3">
      <c r="A26" s="6">
        <v>9</v>
      </c>
      <c r="B26" s="7" t="s">
        <v>64</v>
      </c>
      <c r="C26" s="6"/>
      <c r="D26" s="6" t="s">
        <v>65</v>
      </c>
      <c r="E26" s="7"/>
      <c r="F26" s="7"/>
      <c r="G26" s="6"/>
      <c r="H26" s="7"/>
      <c r="I26" s="7"/>
      <c r="J26" s="6"/>
      <c r="K26" s="7"/>
      <c r="L26" s="7"/>
      <c r="M26" s="7"/>
    </row>
    <row r="27" spans="1:13" x14ac:dyDescent="0.3">
      <c r="A27" s="6">
        <v>10</v>
      </c>
      <c r="B27" s="7" t="s">
        <v>66</v>
      </c>
      <c r="C27" s="6"/>
      <c r="D27" s="6" t="s">
        <v>42</v>
      </c>
      <c r="E27" s="6"/>
      <c r="F27" s="6" t="s">
        <v>37</v>
      </c>
      <c r="G27" s="7"/>
      <c r="H27" s="17"/>
      <c r="I27" s="6"/>
      <c r="J27" s="7"/>
      <c r="K27" s="7"/>
      <c r="L27" s="7"/>
      <c r="M27" s="7"/>
    </row>
    <row r="28" spans="1:13" x14ac:dyDescent="0.3">
      <c r="A28" s="6">
        <v>11</v>
      </c>
      <c r="B28" s="7" t="s">
        <v>67</v>
      </c>
      <c r="C28" s="6"/>
      <c r="D28" s="6"/>
      <c r="E28" s="7"/>
      <c r="F28" s="7"/>
      <c r="G28" s="17" t="s">
        <v>42</v>
      </c>
      <c r="H28" s="7"/>
      <c r="I28" s="7"/>
      <c r="J28" s="17" t="s">
        <v>45</v>
      </c>
      <c r="K28" s="7"/>
      <c r="L28" s="6"/>
      <c r="M28" s="7"/>
    </row>
    <row r="29" spans="1:13" x14ac:dyDescent="0.3">
      <c r="A29" s="6">
        <v>12</v>
      </c>
      <c r="B29" s="7" t="s">
        <v>68</v>
      </c>
      <c r="C29" s="6" t="s">
        <v>42</v>
      </c>
      <c r="D29" s="6" t="s">
        <v>30</v>
      </c>
      <c r="E29" s="6" t="s">
        <v>23</v>
      </c>
      <c r="F29" s="6" t="s">
        <v>33</v>
      </c>
      <c r="G29" s="17" t="s">
        <v>42</v>
      </c>
      <c r="H29" s="6"/>
      <c r="I29" s="7"/>
      <c r="J29" s="17" t="s">
        <v>69</v>
      </c>
      <c r="K29" s="17" t="s">
        <v>26</v>
      </c>
      <c r="L29" s="17"/>
      <c r="M29" s="7"/>
    </row>
    <row r="30" spans="1:13" x14ac:dyDescent="0.3">
      <c r="A30" s="6">
        <v>13</v>
      </c>
      <c r="B30" s="7" t="s">
        <v>70</v>
      </c>
      <c r="C30" s="6"/>
      <c r="D30" s="6"/>
      <c r="E30" s="6"/>
      <c r="F30" s="7"/>
      <c r="G30" s="6" t="s">
        <v>42</v>
      </c>
      <c r="H30" s="17"/>
      <c r="I30" s="7"/>
      <c r="J30" s="17"/>
      <c r="K30" s="7"/>
      <c r="L30" s="7"/>
      <c r="M30" s="7"/>
    </row>
    <row r="31" spans="1:13" x14ac:dyDescent="0.3">
      <c r="A31" s="6">
        <v>14</v>
      </c>
      <c r="B31" s="7" t="s">
        <v>71</v>
      </c>
      <c r="C31" s="6"/>
      <c r="D31" s="6" t="s">
        <v>72</v>
      </c>
      <c r="E31" s="6"/>
      <c r="F31" s="6"/>
      <c r="G31" s="7"/>
      <c r="H31" s="6"/>
      <c r="I31" s="7"/>
      <c r="J31" s="7"/>
      <c r="K31" s="7"/>
      <c r="L31" s="7"/>
      <c r="M31" s="7"/>
    </row>
    <row r="32" spans="1:13" x14ac:dyDescent="0.3">
      <c r="A32" s="6">
        <v>15</v>
      </c>
      <c r="B32" s="7" t="s">
        <v>73</v>
      </c>
      <c r="C32" s="6" t="s">
        <v>74</v>
      </c>
      <c r="D32" s="6" t="s">
        <v>75</v>
      </c>
      <c r="E32" s="6" t="s">
        <v>45</v>
      </c>
      <c r="F32" s="6" t="s">
        <v>76</v>
      </c>
      <c r="G32" s="6" t="s">
        <v>25</v>
      </c>
      <c r="H32" s="6"/>
      <c r="I32" s="7"/>
      <c r="J32" s="7"/>
      <c r="K32" s="7"/>
      <c r="L32" s="6" t="s">
        <v>65</v>
      </c>
      <c r="M32" s="7"/>
    </row>
    <row r="33" spans="1:13" x14ac:dyDescent="0.3">
      <c r="A33" s="6">
        <v>16</v>
      </c>
      <c r="B33" s="7" t="s">
        <v>77</v>
      </c>
      <c r="C33" s="6"/>
      <c r="D33" s="6"/>
      <c r="E33" s="7"/>
      <c r="F33" s="7"/>
      <c r="G33" s="7"/>
      <c r="H33" s="7"/>
      <c r="I33" s="7"/>
      <c r="J33" s="7"/>
      <c r="K33" s="7"/>
      <c r="L33" s="7"/>
      <c r="M33" s="7"/>
    </row>
    <row r="34" spans="1:13" x14ac:dyDescent="0.3">
      <c r="A34" s="6">
        <v>17</v>
      </c>
      <c r="B34" s="7" t="s">
        <v>78</v>
      </c>
      <c r="C34" s="7"/>
      <c r="D34" s="6" t="s">
        <v>79</v>
      </c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3">
      <c r="A35" s="6">
        <v>18</v>
      </c>
      <c r="B35" s="7" t="s">
        <v>80</v>
      </c>
      <c r="C35" s="6"/>
      <c r="D35" s="6" t="s">
        <v>81</v>
      </c>
      <c r="E35" s="7"/>
      <c r="F35" s="7"/>
      <c r="G35" s="6" t="s">
        <v>82</v>
      </c>
      <c r="H35" s="6" t="s">
        <v>83</v>
      </c>
      <c r="I35" s="6"/>
      <c r="J35" s="6" t="s">
        <v>83</v>
      </c>
      <c r="K35" s="6"/>
      <c r="L35" s="6"/>
      <c r="M35" s="7"/>
    </row>
    <row r="36" spans="1:13" x14ac:dyDescent="0.3">
      <c r="A36" s="6">
        <v>19</v>
      </c>
      <c r="B36" s="7" t="s">
        <v>84</v>
      </c>
      <c r="C36" s="6"/>
      <c r="D36" s="6"/>
      <c r="E36" s="7"/>
      <c r="F36" s="7"/>
      <c r="G36" s="7"/>
      <c r="H36" s="7"/>
      <c r="I36" s="7"/>
      <c r="J36" s="7"/>
      <c r="K36" s="7"/>
      <c r="L36" s="7"/>
      <c r="M36" s="7"/>
    </row>
    <row r="37" spans="1:13" x14ac:dyDescent="0.3">
      <c r="A37" s="6">
        <v>20</v>
      </c>
      <c r="B37" s="7" t="s">
        <v>85</v>
      </c>
      <c r="C37" s="6"/>
      <c r="D37" s="6" t="s">
        <v>86</v>
      </c>
      <c r="E37" s="7"/>
      <c r="F37" s="7"/>
      <c r="G37" s="6" t="s">
        <v>87</v>
      </c>
      <c r="H37" s="6"/>
      <c r="I37" s="6" t="s">
        <v>88</v>
      </c>
      <c r="J37" s="6" t="s">
        <v>89</v>
      </c>
      <c r="K37" s="6" t="s">
        <v>90</v>
      </c>
      <c r="L37" s="6"/>
      <c r="M37" s="7"/>
    </row>
    <row r="38" spans="1:13" x14ac:dyDescent="0.3">
      <c r="A38" s="6">
        <v>21</v>
      </c>
      <c r="B38" s="7" t="s">
        <v>91</v>
      </c>
      <c r="C38" s="6"/>
      <c r="D38" s="6"/>
      <c r="E38" s="7"/>
      <c r="F38" s="7"/>
      <c r="G38" s="7"/>
      <c r="H38" s="7"/>
      <c r="I38" s="7"/>
      <c r="J38" s="7"/>
      <c r="K38" s="7"/>
      <c r="L38" s="7"/>
      <c r="M38" s="7"/>
    </row>
    <row r="39" spans="1:13" x14ac:dyDescent="0.3">
      <c r="A39" s="6">
        <v>22</v>
      </c>
      <c r="B39" s="7" t="s">
        <v>92</v>
      </c>
      <c r="C39" s="7"/>
      <c r="D39" s="6"/>
      <c r="E39" s="7"/>
      <c r="F39" s="7"/>
      <c r="G39" s="7"/>
      <c r="H39" s="6"/>
      <c r="I39" s="6"/>
      <c r="J39" s="7"/>
      <c r="K39" s="7"/>
      <c r="L39" s="7"/>
      <c r="M39" s="7"/>
    </row>
    <row r="40" spans="1:13" x14ac:dyDescent="0.3">
      <c r="A40" s="6">
        <v>23</v>
      </c>
      <c r="B40" s="7" t="s">
        <v>93</v>
      </c>
      <c r="C40" s="6" t="s">
        <v>42</v>
      </c>
      <c r="D40" s="6" t="s">
        <v>94</v>
      </c>
      <c r="E40" s="6"/>
      <c r="F40" s="7"/>
      <c r="G40" s="17" t="s">
        <v>95</v>
      </c>
      <c r="H40" s="7"/>
      <c r="I40" s="6" t="s">
        <v>42</v>
      </c>
      <c r="J40" s="17" t="s">
        <v>96</v>
      </c>
      <c r="K40" s="7"/>
      <c r="L40" s="6" t="s">
        <v>42</v>
      </c>
      <c r="M40" s="7"/>
    </row>
    <row r="41" spans="1:13" ht="16.5" customHeight="1" x14ac:dyDescent="0.3">
      <c r="A41" s="6">
        <v>24</v>
      </c>
      <c r="B41" s="7" t="s">
        <v>97</v>
      </c>
      <c r="C41" s="7"/>
      <c r="D41" s="6"/>
      <c r="E41" s="7"/>
      <c r="F41" s="7"/>
      <c r="G41" s="6"/>
      <c r="H41" s="6" t="s">
        <v>30</v>
      </c>
      <c r="I41" s="6"/>
      <c r="J41" s="6" t="s">
        <v>42</v>
      </c>
      <c r="K41" s="6" t="s">
        <v>98</v>
      </c>
      <c r="L41" s="6"/>
      <c r="M41" s="7"/>
    </row>
    <row r="42" spans="1:13" x14ac:dyDescent="0.3">
      <c r="A42" s="6">
        <v>25</v>
      </c>
      <c r="B42" s="7" t="s">
        <v>99</v>
      </c>
      <c r="C42" s="6"/>
      <c r="D42" s="6" t="s">
        <v>100</v>
      </c>
      <c r="E42" s="7"/>
      <c r="F42" s="6"/>
      <c r="G42" s="6" t="s">
        <v>101</v>
      </c>
      <c r="H42" s="6" t="s">
        <v>102</v>
      </c>
      <c r="I42" s="6" t="s">
        <v>103</v>
      </c>
      <c r="J42" s="6" t="s">
        <v>104</v>
      </c>
      <c r="K42" s="6" t="s">
        <v>69</v>
      </c>
      <c r="L42" s="6" t="s">
        <v>105</v>
      </c>
      <c r="M42" s="7"/>
    </row>
    <row r="43" spans="1:13" x14ac:dyDescent="0.3">
      <c r="A43" s="6">
        <v>26</v>
      </c>
      <c r="B43" s="7" t="s">
        <v>106</v>
      </c>
      <c r="C43" s="7"/>
      <c r="D43" s="6" t="s">
        <v>42</v>
      </c>
      <c r="E43" s="7"/>
      <c r="F43" s="7"/>
      <c r="G43" s="6" t="s">
        <v>26</v>
      </c>
      <c r="H43" s="6" t="s">
        <v>42</v>
      </c>
      <c r="I43" s="7"/>
      <c r="J43" s="6"/>
      <c r="K43" s="7"/>
      <c r="L43" s="7"/>
      <c r="M43" s="7"/>
    </row>
    <row r="44" spans="1:13" x14ac:dyDescent="0.3">
      <c r="A44" s="6">
        <v>27</v>
      </c>
      <c r="B44" s="7" t="s">
        <v>107</v>
      </c>
      <c r="C44" s="7"/>
      <c r="D44" s="7"/>
      <c r="E44" s="7"/>
      <c r="F44" s="7"/>
      <c r="G44" s="6" t="s">
        <v>42</v>
      </c>
      <c r="H44" s="7"/>
      <c r="I44" s="6"/>
      <c r="J44" s="7"/>
      <c r="K44" s="7"/>
      <c r="L44" s="7"/>
      <c r="M44" s="7"/>
    </row>
    <row r="45" spans="1:13" x14ac:dyDescent="0.3">
      <c r="A45" s="6">
        <v>28</v>
      </c>
      <c r="B45" s="7" t="s">
        <v>108</v>
      </c>
      <c r="C45" s="7"/>
      <c r="D45" s="7"/>
      <c r="E45" s="7"/>
      <c r="F45" s="7"/>
      <c r="G45" s="7"/>
      <c r="H45" s="7"/>
      <c r="I45" s="6" t="s">
        <v>109</v>
      </c>
      <c r="J45" s="7" t="s">
        <v>109</v>
      </c>
      <c r="K45" s="6" t="s">
        <v>110</v>
      </c>
      <c r="L45" s="7"/>
      <c r="M45" s="7"/>
    </row>
    <row r="46" spans="1:13" x14ac:dyDescent="0.3">
      <c r="A46" s="6">
        <v>29</v>
      </c>
      <c r="B46" s="7" t="s">
        <v>111</v>
      </c>
      <c r="C46" s="7"/>
      <c r="D46" s="6" t="s">
        <v>112</v>
      </c>
      <c r="E46" s="7"/>
      <c r="F46" s="7"/>
      <c r="G46" s="6" t="s">
        <v>113</v>
      </c>
      <c r="H46" s="7"/>
      <c r="I46" s="6" t="s">
        <v>114</v>
      </c>
      <c r="J46" s="6" t="s">
        <v>115</v>
      </c>
      <c r="K46" s="6" t="s">
        <v>116</v>
      </c>
      <c r="L46" s="7"/>
      <c r="M46" s="7"/>
    </row>
    <row r="47" spans="1:13" x14ac:dyDescent="0.3">
      <c r="A47" s="6">
        <v>30</v>
      </c>
      <c r="B47" s="7" t="s">
        <v>117</v>
      </c>
      <c r="C47" s="7"/>
      <c r="D47" s="7"/>
      <c r="E47" s="7"/>
      <c r="F47" s="7"/>
      <c r="G47" s="7"/>
      <c r="H47" s="7"/>
      <c r="I47" s="6"/>
      <c r="J47" s="7"/>
      <c r="K47" s="7"/>
      <c r="L47" s="7"/>
      <c r="M47" s="7"/>
    </row>
    <row r="48" spans="1:13" x14ac:dyDescent="0.3">
      <c r="A48" s="6">
        <v>31</v>
      </c>
      <c r="B48" s="7" t="s">
        <v>118</v>
      </c>
      <c r="C48" s="7"/>
      <c r="D48" s="7"/>
      <c r="E48" s="7"/>
      <c r="F48" s="7"/>
      <c r="G48" s="7"/>
      <c r="H48" s="7"/>
      <c r="I48" s="6" t="s">
        <v>42</v>
      </c>
      <c r="J48" s="7"/>
      <c r="K48" s="7"/>
      <c r="L48" s="7"/>
      <c r="M48" s="7"/>
    </row>
    <row r="49" spans="1:13" x14ac:dyDescent="0.3">
      <c r="A49" s="6">
        <v>32</v>
      </c>
      <c r="B49" s="7" t="s">
        <v>119</v>
      </c>
      <c r="C49" s="7"/>
      <c r="D49" s="7"/>
      <c r="E49" s="7"/>
      <c r="F49" s="7"/>
      <c r="G49" s="6" t="s">
        <v>120</v>
      </c>
      <c r="H49" s="7"/>
      <c r="I49" s="6" t="s">
        <v>121</v>
      </c>
      <c r="J49" s="7"/>
      <c r="K49" s="6" t="s">
        <v>122</v>
      </c>
      <c r="L49" s="7"/>
      <c r="M49" s="7"/>
    </row>
    <row r="50" spans="1:13" x14ac:dyDescent="0.3">
      <c r="A50" s="6">
        <v>33</v>
      </c>
      <c r="B50" s="7" t="s">
        <v>123</v>
      </c>
      <c r="C50" s="7"/>
      <c r="D50" s="6" t="s">
        <v>124</v>
      </c>
      <c r="E50" s="7"/>
      <c r="F50" s="7"/>
      <c r="G50" s="6" t="s">
        <v>42</v>
      </c>
      <c r="H50" s="7"/>
      <c r="I50" s="6"/>
      <c r="J50" s="7"/>
      <c r="K50" s="7"/>
      <c r="L50" s="6" t="s">
        <v>30</v>
      </c>
      <c r="M50" s="7"/>
    </row>
    <row r="51" spans="1:13" x14ac:dyDescent="0.3">
      <c r="A51" s="6">
        <v>34</v>
      </c>
      <c r="B51" s="7" t="s">
        <v>125</v>
      </c>
      <c r="C51" s="7"/>
      <c r="D51" s="6"/>
      <c r="E51" s="7"/>
      <c r="F51" s="7"/>
      <c r="G51" s="6" t="s">
        <v>126</v>
      </c>
      <c r="H51" s="7"/>
      <c r="I51" s="6"/>
      <c r="J51" s="7"/>
      <c r="K51" s="7"/>
      <c r="L51" s="6" t="s">
        <v>127</v>
      </c>
      <c r="M51" s="7"/>
    </row>
    <row r="52" spans="1:13" x14ac:dyDescent="0.3">
      <c r="A52" s="6">
        <v>35</v>
      </c>
      <c r="B52" s="7" t="s">
        <v>128</v>
      </c>
      <c r="C52" s="7"/>
      <c r="D52" s="6" t="s">
        <v>42</v>
      </c>
      <c r="E52" s="7"/>
      <c r="F52" s="7"/>
      <c r="G52" s="6" t="s">
        <v>129</v>
      </c>
      <c r="H52" s="7"/>
      <c r="I52" s="6"/>
      <c r="J52" s="7"/>
      <c r="K52" s="7"/>
      <c r="L52" s="6" t="s">
        <v>127</v>
      </c>
      <c r="M52" s="7"/>
    </row>
    <row r="53" spans="1:13" x14ac:dyDescent="0.3">
      <c r="A53" s="6">
        <v>36</v>
      </c>
      <c r="B53" s="7" t="s">
        <v>130</v>
      </c>
      <c r="C53" s="6" t="s">
        <v>131</v>
      </c>
      <c r="D53" s="6" t="s">
        <v>132</v>
      </c>
      <c r="E53" s="7"/>
      <c r="F53" s="6" t="s">
        <v>75</v>
      </c>
      <c r="G53" s="6" t="s">
        <v>42</v>
      </c>
      <c r="H53" s="7"/>
      <c r="I53" s="6" t="s">
        <v>133</v>
      </c>
      <c r="J53" s="6" t="s">
        <v>30</v>
      </c>
      <c r="K53" s="6" t="s">
        <v>42</v>
      </c>
      <c r="L53" s="7"/>
      <c r="M53" s="7"/>
    </row>
    <row r="54" spans="1:13" x14ac:dyDescent="0.3">
      <c r="A54" s="6">
        <v>37</v>
      </c>
      <c r="B54" s="7" t="s">
        <v>134</v>
      </c>
      <c r="C54" s="7"/>
      <c r="D54" s="6"/>
      <c r="E54" s="7"/>
      <c r="F54" s="7"/>
      <c r="G54" s="6"/>
      <c r="H54" s="7"/>
      <c r="I54" s="6"/>
      <c r="J54" s="6" t="s">
        <v>26</v>
      </c>
      <c r="K54" s="7"/>
      <c r="L54" s="7"/>
      <c r="M54" s="7"/>
    </row>
    <row r="55" spans="1:13" x14ac:dyDescent="0.3">
      <c r="A55" s="6">
        <v>38</v>
      </c>
      <c r="B55" s="7" t="s">
        <v>135</v>
      </c>
      <c r="C55" s="7"/>
      <c r="D55" s="6" t="s">
        <v>42</v>
      </c>
      <c r="E55" s="7"/>
      <c r="F55" s="7"/>
      <c r="G55" s="6" t="s">
        <v>136</v>
      </c>
      <c r="H55" s="7"/>
      <c r="I55" s="6" t="s">
        <v>42</v>
      </c>
      <c r="J55" s="7" t="s">
        <v>23</v>
      </c>
      <c r="K55" s="6" t="s">
        <v>45</v>
      </c>
      <c r="L55" s="6" t="s">
        <v>26</v>
      </c>
      <c r="M55" s="7"/>
    </row>
    <row r="56" spans="1:13" x14ac:dyDescent="0.3">
      <c r="A56" s="6">
        <v>39</v>
      </c>
      <c r="B56" s="7" t="s">
        <v>137</v>
      </c>
      <c r="C56" s="7"/>
      <c r="D56" s="6"/>
      <c r="E56" s="7"/>
      <c r="F56" s="7"/>
      <c r="G56" s="6"/>
      <c r="H56" s="7"/>
      <c r="I56" s="6"/>
      <c r="J56" s="7"/>
      <c r="K56" s="6"/>
      <c r="L56" s="7"/>
      <c r="M56" s="7"/>
    </row>
  </sheetData>
  <mergeCells count="3">
    <mergeCell ref="A1:F1"/>
    <mergeCell ref="A2:F2"/>
    <mergeCell ref="A16:M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 PARTNERS FINANCE</dc:creator>
  <cp:lastModifiedBy>USER</cp:lastModifiedBy>
  <dcterms:created xsi:type="dcterms:W3CDTF">2025-04-03T05:19:44Z</dcterms:created>
  <dcterms:modified xsi:type="dcterms:W3CDTF">2025-04-23T07:22:25Z</dcterms:modified>
</cp:coreProperties>
</file>